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33462c6dc543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与运行" sheetId="1" r:id="R132611f3d1a8438b"/>
    <x:sheet xmlns:r="http://schemas.openxmlformats.org/officeDocument/2006/relationships" name="申请字段比对" sheetId="2" r:id="Rc0c7574efee5431b"/>
    <x:sheet xmlns:r="http://schemas.openxmlformats.org/officeDocument/2006/relationships" name="问询复核" sheetId="3" r:id="Rd78ec9b3b52f49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#,##0"/>
    <x:numFmt numFmtId="202" formatCode="@"/>
  </x:numFmts>
  <x:fonts count="4">
    <x:font>
      <x:sz val="11"/>
      <x:name val="Carlito"/>
    </x:font>
    <x:font>
      <x:sz val="11"/>
      <x:color rgb="FF172033"/>
      <x:name val="Arial"/>
    </x:font>
    <x:font>
      <x:b/>
      <x:sz val="16"/>
      <x:color rgb="FF172033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B5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color rgb="FF9C1B1B"/>
      </x:font>
      <x:fill>
        <x:patternFill patternType="solid">
          <x:bgColor rgb="FFFCE5E5"/>
        </x:patternFill>
      </x:fill>
    </x:dxf>
    <x:dxf>
      <x:font>
        <x:color rgb="FF77570A"/>
      </x:font>
      <x:fill>
        <x:patternFill patternType="solid">
          <x:bgColor rgb="FFFFF1CD"/>
        </x:patternFill>
      </x:fill>
    </x:dxf>
    <x:dxf>
      <x:font>
        <x:color rgb="FF9C1B1B"/>
      </x:font>
      <x:fill>
        <x:patternFill patternType="solid">
          <x:bgColor rgb="FFFCE5E5"/>
        </x:patternFill>
      </x:fill>
    </x:dxf>
    <x:dxf>
      <x:font>
        <x:color rgb="FF77570A"/>
      </x:font>
      <x:fill>
        <x:patternFill patternType="solid">
          <x:bgColor rgb="FFFFF1CD"/>
        </x:patternFill>
      </x:fill>
    </x:dxf>
    <x:dxf>
      <x:font>
        <x:color rgb="FF9C1B1B"/>
      </x:font>
      <x:fill>
        <x:patternFill patternType="solid">
          <x:bgColor rgb="FFFCE5E5"/>
        </x:patternFill>
      </x:fill>
    </x:dxf>
    <x:dxf>
      <x:font>
        <x:color rgb="FF77570A"/>
      </x:font>
      <x:fill>
        <x:patternFill patternType="solid">
          <x:bgColor rgb="FFFFF1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ae3c53b4af4781" /><Relationship Type="http://schemas.openxmlformats.org/officeDocument/2006/relationships/theme" Target="/xl/theme/theme1.xml" Id="Ra478d1a0c54745ec" /><Relationship Type="http://schemas.openxmlformats.org/officeDocument/2006/relationships/sharedStrings" Target="/xl/sharedStrings.xml" Id="Rdb5c090e1ce54cab" /><Relationship Type="http://schemas.openxmlformats.org/officeDocument/2006/relationships/worksheet" Target="/xl/worksheets/sheet1.xml" Id="R132611f3d1a8438b" /><Relationship Type="http://schemas.openxmlformats.org/officeDocument/2006/relationships/worksheet" Target="/xl/worksheets/sheet2.xml" Id="Rc0c7574efee5431b" /><Relationship Type="http://schemas.openxmlformats.org/officeDocument/2006/relationships/worksheet" Target="/xl/worksheets/sheet3.xml" Id="Rd78ec9b3b52f4942" /></Relationships>
</file>

<file path=xl/tables/table1.xml><?xml version="1.0" encoding="utf-8"?>
<x:table xmlns:x="http://schemas.openxmlformats.org/spreadsheetml/2006/main" id="1" name="RunsTable" displayName="RunsTable" ref="A12:H32" headerRowCount="1" totalsRowCount="0" totalsRowShown="0">
  <x:tableColumns count="8">
    <x:tableColumn id="1" name="类别"/>
    <x:tableColumn id="2" name="编号"/>
    <x:tableColumn id="3" name="终态"/>
    <x:tableColumn id="4" name="耗时秒"/>
    <x:tableColumn id="5" name="Token"/>
    <x:tableColumn id="6" name="证据数"/>
    <x:tableColumn id="7" name="错误码"/>
    <x:tableColumn id="8" name="run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pplicationTable" displayName="ApplicationTable" ref="A4:J14" headerRowCount="1" totalsRowCount="0" totalsRowShown="0">
  <x:tableColumns count="10">
    <x:tableColumn id="1" name="申请"/>
    <x:tableColumn id="2" name="终态"/>
    <x:tableColumn id="3" name="系统评级"/>
    <x:tableColumn id="4" name="参考评级"/>
    <x:tableColumn id="5" name="评级严格一致"/>
    <x:tableColumn id="6" name="系统额度（万元）"/>
    <x:tableColumn id="7" name="参考额度（万元）"/>
    <x:tableColumn id="8" name="数值区间精确一致"/>
    <x:tableColumn id="9" name="包含于参考区间"/>
    <x:tableColumn id="10" name="复核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uestionTable" displayName="QuestionTable" ref="A4:E14" headerRowCount="1" totalsRowCount="0" totalsRowShown="0">
  <x:tableColumns count="5">
    <x:tableColumn id="1" name="编号"/>
    <x:tableColumn id="2" name="终态"/>
    <x:tableColumn id="3" name="问询"/>
    <x:tableColumn id="4" name="复核结论"/>
    <x:tableColumn id="5" name="差异与依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099ebac86bd432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305d80e81a749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ca2c10465fb4f7c" /></Relationships>
</file>

<file path=xl/worksheets/sheet1.xml><?xml version="1.0" encoding="utf-8"?>
<x:worksheet xmlns:x="http://schemas.openxmlformats.org/spreadsheetml/2006/main">
  <x:sheetPr>
    <x:tabColor rgb="FF263B57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2.220000267028809" hidden="0" customWidth="1"/>
    <x:col min="2" max="2" width="10.5600004196167" hidden="0" customWidth="1"/>
    <x:col min="3" max="3" width="12.220000267028809" hidden="0" customWidth="1"/>
    <x:col min="4" max="4" width="12.220000267028809" hidden="0" customWidth="1"/>
    <x:col min="5" max="5" width="13.329999923706055" hidden="0" customWidth="1"/>
    <x:col min="6" max="6" width="12.220000267028809" hidden="0" customWidth="1"/>
    <x:col min="7" max="7" width="18.889999389648438" hidden="0" customWidth="1"/>
    <x:col min="8" max="8" width="26.670000076293945" hidden="0" customWidth="1"/>
    <x:col min="9" max="9" width="14.4399995803833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>
      <x:c r="A2" s="2" t="str">
        <x:v>赛题04公开集评测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</x:row>
    <x:row r="4" ht="30" customHeight="1">
      <x:c r="A4" s="5" t="str">
        <x:v>类别</x:v>
      </x:c>
      <x:c r="B4" s="5" t="str">
        <x:v>题数</x:v>
      </x:c>
      <x:c r="C4" s="5" t="str">
        <x:v>成功</x:v>
      </x:c>
      <x:c r="D4" s="5" t="str">
        <x:v>待确认</x:v>
      </x:c>
      <x:c r="E4" s="5" t="str">
        <x:v>失败</x:v>
      </x:c>
      <x:c r="F4" s="5" t="str">
        <x:v>平均秒</x:v>
      </x:c>
      <x:c r="G4" s="5" t="str">
        <x:v>P95秒</x:v>
      </x:c>
      <x:c r="H4" s="5" t="str">
        <x:v>Token</x:v>
      </x:c>
      <x:c r="I4" s="5" t="str">
        <x:v>有证据题数</x:v>
      </x:c>
    </x:row>
    <x:row r="5" ht="30" customHeight="1">
      <x:c r="A5" s="1" t="str">
        <x:v>申请</x:v>
      </x:c>
      <x:c r="B5" s="1" t="n">
        <x:f>COUNTIFS($A$13:$A$32,A5)</x:f>
        <x:v>10</x:v>
      </x:c>
      <x:c r="C5" s="1" t="n">
        <x:f>COUNTIFS($A$13:$A$32,A5,$C$13:$C$32,"成功")</x:f>
        <x:v>8</x:v>
      </x:c>
      <x:c r="D5" s="1" t="n">
        <x:f>COUNTIFS($A$13:$A$32,A5,$C$13:$C$32,"待确认")</x:f>
        <x:v>2</x:v>
      </x:c>
      <x:c r="E5" s="1" t="n">
        <x:f>COUNTIFS($A$13:$A$32,A5,$C$13:$C$32,"失败")+COUNTIFS($A$13:$A$32,A5,$C$13:$C$32,"执行异常")</x:f>
        <x:v>0</x:v>
      </x:c>
      <x:c r="F5" s="6" t="n">
        <x:f>AVERAGEIFS($D$13:$D$32,$A$13:$A$32,A5)</x:f>
        <x:v>86.56800000000001</x:v>
      </x:c>
      <x:c r="G5" s="6" t="n">
        <x:v>119.203</x:v>
      </x:c>
      <x:c r="H5" s="7" t="n">
        <x:f>SUMIFS($E$13:$E$32,$A$13:$A$32,A5)</x:f>
        <x:v>560475</x:v>
      </x:c>
      <x:c r="I5" s="1" t="n">
        <x:f>COUNTIFS($A$13:$A$32,A5,$F$13:$F$32,"&gt;0")</x:f>
        <x:v>10</x:v>
      </x:c>
    </x:row>
    <x:row r="6" ht="30" customHeight="1">
      <x:c r="A6" s="1" t="str">
        <x:v>问询</x:v>
      </x:c>
      <x:c r="B6" s="1" t="n">
        <x:f>COUNTIFS($A$13:$A$32,A6)</x:f>
        <x:v>10</x:v>
      </x:c>
      <x:c r="C6" s="1" t="n">
        <x:f>COUNTIFS($A$13:$A$32,A6,$C$13:$C$32,"成功")</x:f>
        <x:v>9</x:v>
      </x:c>
      <x:c r="D6" s="1" t="n">
        <x:f>COUNTIFS($A$13:$A$32,A6,$C$13:$C$32,"待确认")</x:f>
        <x:v>1</x:v>
      </x:c>
      <x:c r="E6" s="1" t="n">
        <x:f>COUNTIFS($A$13:$A$32,A6,$C$13:$C$32,"失败")+COUNTIFS($A$13:$A$32,A6,$C$13:$C$32,"执行异常")</x:f>
        <x:v>0</x:v>
      </x:c>
      <x:c r="F6" s="6" t="n">
        <x:f>AVERAGEIFS($D$13:$D$32,$A$13:$A$32,A6)</x:f>
        <x:v>34.721999999999994</x:v>
      </x:c>
      <x:c r="G6" s="6" t="n">
        <x:v>98.06</x:v>
      </x:c>
      <x:c r="H6" s="7" t="n">
        <x:f>SUMIFS($E$13:$E$32,$A$13:$A$32,A6)</x:f>
        <x:v>272053</x:v>
      </x:c>
      <x:c r="I6" s="1" t="n">
        <x:f>COUNTIFS($A$13:$A$32,A6,$F$13:$F$32,"&gt;0")</x:f>
        <x:v>10</x:v>
      </x:c>
    </x:row>
    <x:row r="7">
      <x:c r="A7" s="1"/>
      <x:c r="B7" s="1"/>
      <x:c r="C7" s="1"/>
      <x:c r="D7" s="1"/>
      <x:c r="E7" s="1"/>
      <x:c r="F7" s="1"/>
      <x:c r="G7" s="1"/>
      <x:c r="H7" s="1"/>
      <x:c r="I7" s="1"/>
    </x:row>
    <x:row r="8">
      <x:c r="A8" s="1" t="str">
        <x:v>运行成功不等于业务答对。两类并发执行，耗时含失败。P95采用nearest-rank。</x:v>
      </x:c>
      <x:c r="B8" s="1"/>
      <x:c r="C8" s="1"/>
      <x:c r="D8" s="1"/>
      <x:c r="E8" s="1"/>
      <x:c r="F8" s="1"/>
      <x:c r="G8" s="1"/>
      <x:c r="H8" s="1"/>
      <x:c r="I8" s="1"/>
    </x:row>
    <x:row r="9">
      <x:c r="A9" s="1" t="str">
        <x:v>申请评级严格一致10/10；数值额度区间精确一致8/8；非数值参考2笔单列复核。</x:v>
      </x:c>
      <x:c r="B9" s="1"/>
      <x:c r="C9" s="1"/>
      <x:c r="D9" s="1"/>
      <x:c r="E9" s="1"/>
      <x:c r="F9" s="1"/>
      <x:c r="G9" s="1"/>
      <x:c r="H9" s="1"/>
      <x:c r="I9" s="1"/>
    </x:row>
    <x:row r="10">
      <x:c r="A10" s="1" t="str">
        <x:v>来源：同批results.jsonl与数据库证据；业务参考为主办方公开答案。完整回答见同目录CSV。</x:v>
      </x:c>
      <x:c r="B10" s="1"/>
      <x:c r="C10" s="1"/>
      <x:c r="D10" s="1"/>
      <x:c r="E10" s="1"/>
      <x:c r="F10" s="1"/>
      <x:c r="G10" s="1"/>
      <x:c r="H10" s="1"/>
      <x:c r="I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30" customHeight="1">
      <x:c r="A12" s="5" t="str">
        <x:v>类别</x:v>
      </x:c>
      <x:c r="B12" s="5" t="str">
        <x:v>编号</x:v>
      </x:c>
      <x:c r="C12" s="5" t="str">
        <x:v>终态</x:v>
      </x:c>
      <x:c r="D12" s="5" t="str">
        <x:v>耗时秒</x:v>
      </x:c>
      <x:c r="E12" s="5" t="str">
        <x:v>Token</x:v>
      </x:c>
      <x:c r="F12" s="5" t="str">
        <x:v>证据数</x:v>
      </x:c>
      <x:c r="G12" s="5" t="str">
        <x:v>错误码</x:v>
      </x:c>
      <x:c r="H12" s="5" t="str">
        <x:v>runId</x:v>
      </x:c>
      <x:c r="I12" s="1"/>
    </x:row>
    <x:row r="13" ht="27" customHeight="1">
      <x:c r="A13" s="1" t="str">
        <x:v>申请</x:v>
      </x:c>
      <x:c r="B13" s="1" t="str">
        <x:v>LA001</x:v>
      </x:c>
      <x:c r="C13" s="1" t="str">
        <x:v>成功</x:v>
      </x:c>
      <x:c r="D13" s="6" t="n">
        <x:v>62.14</x:v>
      </x:c>
      <x:c r="E13" s="7" t="n">
        <x:v>44381</x:v>
      </x:c>
      <x:c r="F13" s="7" t="n">
        <x:v>9</x:v>
      </x:c>
      <x:c r="G13" s="1" t="str"/>
      <x:c r="H13" s="1" t="str">
        <x:v>run_d32343a364dc</x:v>
      </x:c>
      <x:c r="I13" s="1"/>
    </x:row>
    <x:row r="14" ht="27" customHeight="1">
      <x:c r="A14" s="1" t="str">
        <x:v>申请</x:v>
      </x:c>
      <x:c r="B14" s="1" t="str">
        <x:v>LA002</x:v>
      </x:c>
      <x:c r="C14" s="1" t="str">
        <x:v>成功</x:v>
      </x:c>
      <x:c r="D14" s="6" t="n">
        <x:v>119.2</x:v>
      </x:c>
      <x:c r="E14" s="7" t="n">
        <x:v>71157</x:v>
      </x:c>
      <x:c r="F14" s="7" t="n">
        <x:v>9</x:v>
      </x:c>
      <x:c r="G14" s="1" t="str"/>
      <x:c r="H14" s="1" t="str">
        <x:v>run_d3eea991a2b5</x:v>
      </x:c>
      <x:c r="I14" s="1"/>
    </x:row>
    <x:row r="15" ht="27" customHeight="1">
      <x:c r="A15" s="1" t="str">
        <x:v>申请</x:v>
      </x:c>
      <x:c r="B15" s="1" t="str">
        <x:v>LA003</x:v>
      </x:c>
      <x:c r="C15" s="1" t="str">
        <x:v>待确认</x:v>
      </x:c>
      <x:c r="D15" s="6" t="n">
        <x:v>85.43</x:v>
      </x:c>
      <x:c r="E15" s="7" t="n">
        <x:v>55779</x:v>
      </x:c>
      <x:c r="F15" s="7" t="n">
        <x:v>9</x:v>
      </x:c>
      <x:c r="G15" s="1" t="str"/>
      <x:c r="H15" s="1" t="str">
        <x:v>run_0e4693a08c92</x:v>
      </x:c>
      <x:c r="I15" s="1"/>
    </x:row>
    <x:row r="16" ht="27" customHeight="1">
      <x:c r="A16" s="1" t="str">
        <x:v>申请</x:v>
      </x:c>
      <x:c r="B16" s="1" t="str">
        <x:v>LA004</x:v>
      </x:c>
      <x:c r="C16" s="1" t="str">
        <x:v>成功</x:v>
      </x:c>
      <x:c r="D16" s="6" t="n">
        <x:v>89.65</x:v>
      </x:c>
      <x:c r="E16" s="7" t="n">
        <x:v>56611</x:v>
      </x:c>
      <x:c r="F16" s="7" t="n">
        <x:v>9</x:v>
      </x:c>
      <x:c r="G16" s="1" t="str"/>
      <x:c r="H16" s="1" t="str">
        <x:v>run_b1f2e6da1273</x:v>
      </x:c>
      <x:c r="I16" s="1"/>
    </x:row>
    <x:row r="17" ht="27" customHeight="1">
      <x:c r="A17" s="1" t="str">
        <x:v>申请</x:v>
      </x:c>
      <x:c r="B17" s="1" t="str">
        <x:v>LA005</x:v>
      </x:c>
      <x:c r="C17" s="1" t="str">
        <x:v>成功</x:v>
      </x:c>
      <x:c r="D17" s="6" t="n">
        <x:v>94.8</x:v>
      </x:c>
      <x:c r="E17" s="7" t="n">
        <x:v>54997</x:v>
      </x:c>
      <x:c r="F17" s="7" t="n">
        <x:v>9</x:v>
      </x:c>
      <x:c r="G17" s="1" t="str"/>
      <x:c r="H17" s="1" t="str">
        <x:v>run_11787bf6914d</x:v>
      </x:c>
      <x:c r="I17" s="1"/>
    </x:row>
    <x:row r="18" ht="27" customHeight="1">
      <x:c r="A18" s="1" t="str">
        <x:v>申请</x:v>
      </x:c>
      <x:c r="B18" s="1" t="str">
        <x:v>LA006</x:v>
      </x:c>
      <x:c r="C18" s="1" t="str">
        <x:v>待确认</x:v>
      </x:c>
      <x:c r="D18" s="6" t="n">
        <x:v>76.15</x:v>
      </x:c>
      <x:c r="E18" s="7" t="n">
        <x:v>59826</x:v>
      </x:c>
      <x:c r="F18" s="7" t="n">
        <x:v>9</x:v>
      </x:c>
      <x:c r="G18" s="1" t="str"/>
      <x:c r="H18" s="1" t="str">
        <x:v>run_918fa75f00b9</x:v>
      </x:c>
      <x:c r="I18" s="1"/>
    </x:row>
    <x:row r="19" ht="27" customHeight="1">
      <x:c r="A19" s="1" t="str">
        <x:v>申请</x:v>
      </x:c>
      <x:c r="B19" s="1" t="str">
        <x:v>LA007</x:v>
      </x:c>
      <x:c r="C19" s="1" t="str">
        <x:v>成功</x:v>
      </x:c>
      <x:c r="D19" s="6" t="n">
        <x:v>89.07</x:v>
      </x:c>
      <x:c r="E19" s="7" t="n">
        <x:v>54877</x:v>
      </x:c>
      <x:c r="F19" s="7" t="n">
        <x:v>9</x:v>
      </x:c>
      <x:c r="G19" s="1" t="str"/>
      <x:c r="H19" s="1" t="str">
        <x:v>run_bbd062c8641c</x:v>
      </x:c>
      <x:c r="I19" s="1"/>
    </x:row>
    <x:row r="20" ht="27" customHeight="1">
      <x:c r="A20" s="1" t="str">
        <x:v>申请</x:v>
      </x:c>
      <x:c r="B20" s="1" t="str">
        <x:v>LA008</x:v>
      </x:c>
      <x:c r="C20" s="1" t="str">
        <x:v>成功</x:v>
      </x:c>
      <x:c r="D20" s="6" t="n">
        <x:v>56.89</x:v>
      </x:c>
      <x:c r="E20" s="7" t="n">
        <x:v>41622</x:v>
      </x:c>
      <x:c r="F20" s="7" t="n">
        <x:v>9</x:v>
      </x:c>
      <x:c r="G20" s="1" t="str"/>
      <x:c r="H20" s="1" t="str">
        <x:v>run_dcd343c2d9b2</x:v>
      </x:c>
      <x:c r="I20" s="1"/>
    </x:row>
    <x:row r="21" ht="27" customHeight="1">
      <x:c r="A21" s="1" t="str">
        <x:v>申请</x:v>
      </x:c>
      <x:c r="B21" s="1" t="str">
        <x:v>LA009</x:v>
      </x:c>
      <x:c r="C21" s="1" t="str">
        <x:v>成功</x:v>
      </x:c>
      <x:c r="D21" s="6" t="n">
        <x:v>84.64</x:v>
      </x:c>
      <x:c r="E21" s="7" t="n">
        <x:v>54716</x:v>
      </x:c>
      <x:c r="F21" s="7" t="n">
        <x:v>9</x:v>
      </x:c>
      <x:c r="G21" s="1" t="str"/>
      <x:c r="H21" s="1" t="str">
        <x:v>run_8adff3a89336</x:v>
      </x:c>
      <x:c r="I21" s="1"/>
    </x:row>
    <x:row r="22" ht="27" customHeight="1">
      <x:c r="A22" s="1" t="str">
        <x:v>申请</x:v>
      </x:c>
      <x:c r="B22" s="1" t="str">
        <x:v>LA010</x:v>
      </x:c>
      <x:c r="C22" s="1" t="str">
        <x:v>成功</x:v>
      </x:c>
      <x:c r="D22" s="6" t="n">
        <x:v>107.71</x:v>
      </x:c>
      <x:c r="E22" s="7" t="n">
        <x:v>66509</x:v>
      </x:c>
      <x:c r="F22" s="7" t="n">
        <x:v>9</x:v>
      </x:c>
      <x:c r="G22" s="1" t="str"/>
      <x:c r="H22" s="1" t="str">
        <x:v>run_337cf8701a20</x:v>
      </x:c>
      <x:c r="I22" s="1"/>
    </x:row>
    <x:row r="23" ht="27" customHeight="1">
      <x:c r="A23" s="1" t="str">
        <x:v>问询</x:v>
      </x:c>
      <x:c r="B23" s="1" t="str">
        <x:v>Q001</x:v>
      </x:c>
      <x:c r="C23" s="1" t="str">
        <x:v>成功</x:v>
      </x:c>
      <x:c r="D23" s="6" t="n">
        <x:v>98.06</x:v>
      </x:c>
      <x:c r="E23" s="7" t="n">
        <x:v>69858</x:v>
      </x:c>
      <x:c r="F23" s="7" t="n">
        <x:v>8</x:v>
      </x:c>
      <x:c r="G23" s="1" t="str"/>
      <x:c r="H23" s="1" t="str">
        <x:v>run_4dd368e7157a</x:v>
      </x:c>
      <x:c r="I23" s="1"/>
    </x:row>
    <x:row r="24" ht="27" customHeight="1">
      <x:c r="A24" s="1" t="str">
        <x:v>问询</x:v>
      </x:c>
      <x:c r="B24" s="1" t="str">
        <x:v>Q002</x:v>
      </x:c>
      <x:c r="C24" s="1" t="str">
        <x:v>待确认</x:v>
      </x:c>
      <x:c r="D24" s="6" t="n">
        <x:v>35.37</x:v>
      </x:c>
      <x:c r="E24" s="7" t="n">
        <x:v>42449</x:v>
      </x:c>
      <x:c r="F24" s="7" t="n">
        <x:v>7</x:v>
      </x:c>
      <x:c r="G24" s="1" t="str"/>
      <x:c r="H24" s="1" t="str">
        <x:v>run_ef31066101a0</x:v>
      </x:c>
      <x:c r="I24" s="1"/>
    </x:row>
    <x:row r="25" ht="27" customHeight="1">
      <x:c r="A25" s="1" t="str">
        <x:v>问询</x:v>
      </x:c>
      <x:c r="B25" s="1" t="str">
        <x:v>Q003</x:v>
      </x:c>
      <x:c r="C25" s="1" t="str">
        <x:v>成功</x:v>
      </x:c>
      <x:c r="D25" s="6" t="n">
        <x:v>22.48</x:v>
      </x:c>
      <x:c r="E25" s="7" t="n">
        <x:v>23100</x:v>
      </x:c>
      <x:c r="F25" s="7" t="n">
        <x:v>5</x:v>
      </x:c>
      <x:c r="G25" s="1" t="str"/>
      <x:c r="H25" s="1" t="str">
        <x:v>run_9ff2020fa79f</x:v>
      </x:c>
      <x:c r="I25" s="1"/>
    </x:row>
    <x:row r="26" ht="27" customHeight="1">
      <x:c r="A26" s="1" t="str">
        <x:v>问询</x:v>
      </x:c>
      <x:c r="B26" s="1" t="str">
        <x:v>Q004</x:v>
      </x:c>
      <x:c r="C26" s="1" t="str">
        <x:v>成功</x:v>
      </x:c>
      <x:c r="D26" s="6" t="n">
        <x:v>29.91</x:v>
      </x:c>
      <x:c r="E26" s="7" t="n">
        <x:v>31340</x:v>
      </x:c>
      <x:c r="F26" s="7" t="n">
        <x:v>7</x:v>
      </x:c>
      <x:c r="G26" s="1" t="str"/>
      <x:c r="H26" s="1" t="str">
        <x:v>run_d49924516a20</x:v>
      </x:c>
      <x:c r="I26" s="1"/>
    </x:row>
    <x:row r="27" ht="27" customHeight="1">
      <x:c r="A27" s="1" t="str">
        <x:v>问询</x:v>
      </x:c>
      <x:c r="B27" s="1" t="str">
        <x:v>Q005</x:v>
      </x:c>
      <x:c r="C27" s="1" t="str">
        <x:v>成功</x:v>
      </x:c>
      <x:c r="D27" s="6" t="n">
        <x:v>13.98</x:v>
      </x:c>
      <x:c r="E27" s="7" t="n">
        <x:v>8868</x:v>
      </x:c>
      <x:c r="F27" s="7" t="n">
        <x:v>2</x:v>
      </x:c>
      <x:c r="G27" s="1" t="str"/>
      <x:c r="H27" s="1" t="str">
        <x:v>run_a191df81da3e</x:v>
      </x:c>
      <x:c r="I27" s="1"/>
    </x:row>
    <x:row r="28" ht="27" customHeight="1">
      <x:c r="A28" s="1" t="str">
        <x:v>问询</x:v>
      </x:c>
      <x:c r="B28" s="1" t="str">
        <x:v>Q006</x:v>
      </x:c>
      <x:c r="C28" s="1" t="str">
        <x:v>成功</x:v>
      </x:c>
      <x:c r="D28" s="6" t="n">
        <x:v>29.51</x:v>
      </x:c>
      <x:c r="E28" s="7" t="n">
        <x:v>17745</x:v>
      </x:c>
      <x:c r="F28" s="7" t="n">
        <x:v>2</x:v>
      </x:c>
      <x:c r="G28" s="1" t="str"/>
      <x:c r="H28" s="1" t="str">
        <x:v>run_04ffd339a2ab</x:v>
      </x:c>
      <x:c r="I28" s="1"/>
    </x:row>
    <x:row r="29" ht="27" customHeight="1">
      <x:c r="A29" s="1" t="str">
        <x:v>问询</x:v>
      </x:c>
      <x:c r="B29" s="1" t="str">
        <x:v>Q007</x:v>
      </x:c>
      <x:c r="C29" s="1" t="str">
        <x:v>成功</x:v>
      </x:c>
      <x:c r="D29" s="6" t="n">
        <x:v>59</x:v>
      </x:c>
      <x:c r="E29" s="7" t="n">
        <x:v>41469</x:v>
      </x:c>
      <x:c r="F29" s="7" t="n">
        <x:v>9</x:v>
      </x:c>
      <x:c r="G29" s="1" t="str"/>
      <x:c r="H29" s="1" t="str">
        <x:v>run_c970a914f807</x:v>
      </x:c>
      <x:c r="I29" s="1"/>
    </x:row>
    <x:row r="30" ht="27" customHeight="1">
      <x:c r="A30" s="1" t="str">
        <x:v>问询</x:v>
      </x:c>
      <x:c r="B30" s="1" t="str">
        <x:v>Q008</x:v>
      </x:c>
      <x:c r="C30" s="1" t="str">
        <x:v>成功</x:v>
      </x:c>
      <x:c r="D30" s="6" t="n">
        <x:v>18.28</x:v>
      </x:c>
      <x:c r="E30" s="7" t="n">
        <x:v>12638</x:v>
      </x:c>
      <x:c r="F30" s="7" t="n">
        <x:v>2</x:v>
      </x:c>
      <x:c r="G30" s="1" t="str"/>
      <x:c r="H30" s="1" t="str">
        <x:v>run_2cd07fa0b6d9</x:v>
      </x:c>
      <x:c r="I30" s="1"/>
    </x:row>
    <x:row r="31" ht="27" customHeight="1">
      <x:c r="A31" s="1" t="str">
        <x:v>问询</x:v>
      </x:c>
      <x:c r="B31" s="1" t="str">
        <x:v>Q009</x:v>
      </x:c>
      <x:c r="C31" s="1" t="str">
        <x:v>成功</x:v>
      </x:c>
      <x:c r="D31" s="6" t="n">
        <x:v>15.5</x:v>
      </x:c>
      <x:c r="E31" s="7" t="n">
        <x:v>9474</x:v>
      </x:c>
      <x:c r="F31" s="7" t="n">
        <x:v>2</x:v>
      </x:c>
      <x:c r="G31" s="1" t="str"/>
      <x:c r="H31" s="1" t="str">
        <x:v>run_2efc71ee314d</x:v>
      </x:c>
      <x:c r="I31" s="1"/>
    </x:row>
    <x:row r="32" ht="27" customHeight="1">
      <x:c r="A32" s="1" t="str">
        <x:v>问询</x:v>
      </x:c>
      <x:c r="B32" s="1" t="str">
        <x:v>Q010</x:v>
      </x:c>
      <x:c r="C32" s="1" t="str">
        <x:v>成功</x:v>
      </x:c>
      <x:c r="D32" s="6" t="n">
        <x:v>25.13</x:v>
      </x:c>
      <x:c r="E32" s="7" t="n">
        <x:v>15112</x:v>
      </x:c>
      <x:c r="F32" s="7" t="n">
        <x:v>4</x:v>
      </x:c>
      <x:c r="G32" s="1" t="str"/>
      <x:c r="H32" s="1" t="str">
        <x:v>run_3618a78d8303</x:v>
      </x:c>
      <x:c r="I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conditionalFormatting sqref="C13:C32">
    <x:cfRule type="containsText" dxfId="0" priority="1" operator="containsText" text="失败"/>
    <x:cfRule type="containsText" dxfId="1" priority="2" operator="containsText" text="待确认"/>
  </x:conditionalFormatting>
  <x:pageMargins left="0.7" right="0.7" top="0.75" bottom="0.75" header="0.3" footer="0.3"/>
  <x:tableParts count="1">
    <x:tablePart xmlns:r="http://schemas.openxmlformats.org/officeDocument/2006/relationships" r:id="R8099ebac86bd432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0.5600004196167" hidden="0" customWidth="1"/>
    <x:col min="2" max="2" width="11.109999656677246" hidden="0" customWidth="1"/>
    <x:col min="3" max="3" width="11.670000076293945" hidden="0" customWidth="1"/>
    <x:col min="4" max="4" width="12.220000267028809" hidden="0" customWidth="1"/>
    <x:col min="5" max="5" width="14.4399995803833" hidden="0" customWidth="1"/>
    <x:col min="6" max="6" width="16.110000610351562" hidden="0" customWidth="1"/>
    <x:col min="7" max="7" width="16.670000076293945" hidden="0" customWidth="1"/>
    <x:col min="8" max="8" width="16.110000610351562" hidden="0" customWidth="1"/>
    <x:col min="9" max="9" width="14.4399995803833" hidden="0" customWidth="1"/>
    <x:col min="10" max="10" width="38.8899993896484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2" t="str">
        <x:v>10笔申请：评级与额度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34" customHeight="1">
      <x:c r="A4" s="10" t="str">
        <x:v>申请</x:v>
      </x:c>
      <x:c r="B4" s="10" t="str">
        <x:v>终态</x:v>
      </x:c>
      <x:c r="C4" s="10" t="str">
        <x:v>系统评级</x:v>
      </x:c>
      <x:c r="D4" s="10" t="str">
        <x:v>参考评级</x:v>
      </x:c>
      <x:c r="E4" s="10" t="str">
        <x:v>评级严格一致</x:v>
      </x:c>
      <x:c r="F4" s="10" t="str">
        <x:v>系统额度（万元）</x:v>
      </x:c>
      <x:c r="G4" s="10" t="str">
        <x:v>参考额度（万元）</x:v>
      </x:c>
      <x:c r="H4" s="10" t="str">
        <x:v>数值区间精确一致</x:v>
      </x:c>
      <x:c r="I4" s="10" t="str">
        <x:v>包含于参考区间</x:v>
      </x:c>
      <x:c r="J4" s="10" t="str">
        <x:v>复核说明</x:v>
      </x:c>
    </x:row>
    <x:row r="5" ht="65" customHeight="1">
      <x:c r="A5" s="11" t="str">
        <x:v>LA001</x:v>
      </x:c>
      <x:c r="B5" s="11" t="str">
        <x:v>成功</x:v>
      </x:c>
      <x:c r="C5" s="11" t="str">
        <x:v>低风险</x:v>
      </x:c>
      <x:c r="D5" s="11" t="str">
        <x:v>低风险</x:v>
      </x:c>
      <x:c r="E5" s="11" t="str">
        <x:v>一致</x:v>
      </x:c>
      <x:c r="F5" s="12" t="str">
        <x:v>2500-3000</x:v>
      </x:c>
      <x:c r="G5" s="12" t="str">
        <x:v>2500-3000</x:v>
      </x:c>
      <x:c r="H5" s="11" t="str">
        <x:v>一致</x:v>
      </x:c>
      <x:c r="I5" s="11" t="str">
        <x:v>是</x:v>
      </x:c>
      <x:c r="J5" s="13" t="str"/>
    </x:row>
    <x:row r="6" ht="65" customHeight="1">
      <x:c r="A6" s="11" t="str">
        <x:v>LA002</x:v>
      </x:c>
      <x:c r="B6" s="11" t="str">
        <x:v>成功</x:v>
      </x:c>
      <x:c r="C6" s="11" t="str">
        <x:v>中风险</x:v>
      </x:c>
      <x:c r="D6" s="11" t="str">
        <x:v>中风险</x:v>
      </x:c>
      <x:c r="E6" s="11" t="str">
        <x:v>一致</x:v>
      </x:c>
      <x:c r="F6" s="12" t="str">
        <x:v>1200-1500</x:v>
      </x:c>
      <x:c r="G6" s="12" t="str">
        <x:v>1200-1500</x:v>
      </x:c>
      <x:c r="H6" s="11" t="str">
        <x:v>一致</x:v>
      </x:c>
      <x:c r="I6" s="11" t="str">
        <x:v>是</x:v>
      </x:c>
      <x:c r="J6" s="13" t="str"/>
    </x:row>
    <x:row r="7" ht="65" customHeight="1">
      <x:c r="A7" s="11" t="str">
        <x:v>LA003</x:v>
      </x:c>
      <x:c r="B7" s="11" t="str">
        <x:v>待确认</x:v>
      </x:c>
      <x:c r="C7" s="11" t="str">
        <x:v>高风险</x:v>
      </x:c>
      <x:c r="D7" s="11" t="str">
        <x:v>高风险</x:v>
      </x:c>
      <x:c r="E7" s="11" t="str">
        <x:v>一致</x:v>
      </x:c>
      <x:c r="F7" s="12" t="str">
        <x:v>0</x:v>
      </x:c>
      <x:c r="G7" s="12" t="str">
        <x:v>拒贷/极小额度</x:v>
      </x:c>
      <x:c r="H7" s="11" t="str">
        <x:v>非数值参考</x:v>
      </x:c>
      <x:c r="I7" s="11" t="str">
        <x:v>不适用</x:v>
      </x:c>
      <x:c r="J7" s="13" t="str">
        <x:v>拒贷方向符合；报告“需确认/无需复核”矛盾，现金流趋势描述有误。</x:v>
      </x:c>
    </x:row>
    <x:row r="8" ht="65" customHeight="1">
      <x:c r="A8" s="11" t="str">
        <x:v>LA004</x:v>
      </x:c>
      <x:c r="B8" s="11" t="str">
        <x:v>成功</x:v>
      </x:c>
      <x:c r="C8" s="11" t="str">
        <x:v>中风险</x:v>
      </x:c>
      <x:c r="D8" s="11" t="str">
        <x:v>中风险</x:v>
      </x:c>
      <x:c r="E8" s="11" t="str">
        <x:v>一致</x:v>
      </x:c>
      <x:c r="F8" s="12" t="str">
        <x:v>1500-2000</x:v>
      </x:c>
      <x:c r="G8" s="12" t="str">
        <x:v>1500-2000</x:v>
      </x:c>
      <x:c r="H8" s="11" t="str">
        <x:v>一致</x:v>
      </x:c>
      <x:c r="I8" s="11" t="str">
        <x:v>是</x:v>
      </x:c>
      <x:c r="J8" s="13" t="str"/>
    </x:row>
    <x:row r="9" ht="65" customHeight="1">
      <x:c r="A9" s="11" t="str">
        <x:v>LA005</x:v>
      </x:c>
      <x:c r="B9" s="11" t="str">
        <x:v>成功</x:v>
      </x:c>
      <x:c r="C9" s="11" t="str">
        <x:v>低-中风险</x:v>
      </x:c>
      <x:c r="D9" s="11" t="str">
        <x:v>低-中风险</x:v>
      </x:c>
      <x:c r="E9" s="11" t="str">
        <x:v>一致</x:v>
      </x:c>
      <x:c r="F9" s="12" t="str">
        <x:v>600-800</x:v>
      </x:c>
      <x:c r="G9" s="12" t="str">
        <x:v>600-800</x:v>
      </x:c>
      <x:c r="H9" s="11" t="str">
        <x:v>一致</x:v>
      </x:c>
      <x:c r="I9" s="11" t="str">
        <x:v>是</x:v>
      </x:c>
      <x:c r="J9" s="13" t="str"/>
    </x:row>
    <x:row r="10" ht="65" customHeight="1">
      <x:c r="A10" s="11" t="str">
        <x:v>LA006</x:v>
      </x:c>
      <x:c r="B10" s="11" t="str">
        <x:v>待确认</x:v>
      </x:c>
      <x:c r="C10" s="11" t="str">
        <x:v>高风险</x:v>
      </x:c>
      <x:c r="D10" s="11" t="str">
        <x:v>高风险</x:v>
      </x:c>
      <x:c r="E10" s="11" t="str">
        <x:v>一致</x:v>
      </x:c>
      <x:c r="F10" s="12" t="str">
        <x:v>0</x:v>
      </x:c>
      <x:c r="G10" s="12" t="str">
        <x:v>拒贷/极小额度</x:v>
      </x:c>
      <x:c r="H10" s="11" t="str">
        <x:v>非数值参考</x:v>
      </x:c>
      <x:c r="I10" s="11" t="str">
        <x:v>不适用</x:v>
      </x:c>
      <x:c r="J10" s="13" t="str">
        <x:v>0万元与拒贷方向相符；非数值参考单列，尚待业务确认。</x:v>
      </x:c>
    </x:row>
    <x:row r="11" ht="65" customHeight="1">
      <x:c r="A11" s="11" t="str">
        <x:v>LA007</x:v>
      </x:c>
      <x:c r="B11" s="11" t="str">
        <x:v>成功</x:v>
      </x:c>
      <x:c r="C11" s="11" t="str">
        <x:v>低风险</x:v>
      </x:c>
      <x:c r="D11" s="11" t="str">
        <x:v>低风险</x:v>
      </x:c>
      <x:c r="E11" s="11" t="str">
        <x:v>一致</x:v>
      </x:c>
      <x:c r="F11" s="12" t="str">
        <x:v>400-500</x:v>
      </x:c>
      <x:c r="G11" s="12" t="str">
        <x:v>400-500</x:v>
      </x:c>
      <x:c r="H11" s="11" t="str">
        <x:v>一致</x:v>
      </x:c>
      <x:c r="I11" s="11" t="str">
        <x:v>是</x:v>
      </x:c>
      <x:c r="J11" s="13" t="str"/>
    </x:row>
    <x:row r="12" ht="65" customHeight="1">
      <x:c r="A12" s="11" t="str">
        <x:v>LA008</x:v>
      </x:c>
      <x:c r="B12" s="11" t="str">
        <x:v>成功</x:v>
      </x:c>
      <x:c r="C12" s="11" t="str">
        <x:v>中风险</x:v>
      </x:c>
      <x:c r="D12" s="11" t="str">
        <x:v>中风险</x:v>
      </x:c>
      <x:c r="E12" s="11" t="str">
        <x:v>一致</x:v>
      </x:c>
      <x:c r="F12" s="12" t="str">
        <x:v>1000-1200</x:v>
      </x:c>
      <x:c r="G12" s="12" t="str">
        <x:v>1000-1200</x:v>
      </x:c>
      <x:c r="H12" s="11" t="str">
        <x:v>一致</x:v>
      </x:c>
      <x:c r="I12" s="11" t="str">
        <x:v>是</x:v>
      </x:c>
      <x:c r="J12" s="13" t="str">
        <x:v>自动解析未检出；人工核对最终额度1000–1200万元与证据一致。</x:v>
      </x:c>
    </x:row>
    <x:row r="13" ht="65" customHeight="1">
      <x:c r="A13" s="11" t="str">
        <x:v>LA009</x:v>
      </x:c>
      <x:c r="B13" s="11" t="str">
        <x:v>成功</x:v>
      </x:c>
      <x:c r="C13" s="11" t="str">
        <x:v>低风险</x:v>
      </x:c>
      <x:c r="D13" s="11" t="str">
        <x:v>低风险</x:v>
      </x:c>
      <x:c r="E13" s="11" t="str">
        <x:v>一致</x:v>
      </x:c>
      <x:c r="F13" s="12" t="str">
        <x:v>2000-2500</x:v>
      </x:c>
      <x:c r="G13" s="12" t="str">
        <x:v>2000-2500</x:v>
      </x:c>
      <x:c r="H13" s="11" t="str">
        <x:v>一致</x:v>
      </x:c>
      <x:c r="I13" s="11" t="str">
        <x:v>是</x:v>
      </x:c>
      <x:c r="J13" s="13" t="str">
        <x:v>自动解析未检出；人工核对最终额度2000–2500万元与证据一致。</x:v>
      </x:c>
    </x:row>
    <x:row r="14" ht="65" customHeight="1">
      <x:c r="A14" s="11" t="str">
        <x:v>LA010</x:v>
      </x:c>
      <x:c r="B14" s="11" t="str">
        <x:v>成功</x:v>
      </x:c>
      <x:c r="C14" s="11" t="str">
        <x:v>中风险</x:v>
      </x:c>
      <x:c r="D14" s="11" t="str">
        <x:v>中风险</x:v>
      </x:c>
      <x:c r="E14" s="11" t="str">
        <x:v>一致</x:v>
      </x:c>
      <x:c r="F14" s="12" t="str">
        <x:v>1500-2000</x:v>
      </x:c>
      <x:c r="G14" s="12" t="str">
        <x:v>1500-2000</x:v>
      </x:c>
      <x:c r="H14" s="11" t="str">
        <x:v>一致</x:v>
      </x:c>
      <x:c r="I14" s="11" t="str">
        <x:v>是</x:v>
      </x:c>
      <x:c r="J14" s="13" t="str">
        <x:v>评级额度符合；报告写“需业务人员确认”，终态却为成功，口径需核对。</x:v>
      </x:c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</x:row>
  </x:sheetData>
  <x:conditionalFormatting sqref="B5:B14">
    <x:cfRule type="containsText" dxfId="2" priority="1" operator="containsText" text="失败"/>
    <x:cfRule type="containsText" dxfId="3" priority="2" operator="containsText" text="待确认"/>
  </x:conditionalFormatting>
  <x:pageMargins left="0.7" right="0.7" top="0.75" bottom="0.75" header="0.3" footer="0.3"/>
  <x:tableParts count="1">
    <x:tablePart xmlns:r="http://schemas.openxmlformats.org/officeDocument/2006/relationships" r:id="Ra305d80e81a7490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8.890000343322754" hidden="0" customWidth="1"/>
    <x:col min="2" max="2" width="11.670000076293945" hidden="0" customWidth="1"/>
    <x:col min="3" max="3" width="33.33000183105469" hidden="0" customWidth="1"/>
    <x:col min="4" max="4" width="16.670000076293945" hidden="0" customWidth="1"/>
    <x:col min="5" max="5" width="80" hidden="0" customWidth="1"/>
  </x:cols>
  <x:sheetData>
    <x:row r="1">
      <x:c r="A1" s="1"/>
      <x:c r="B1" s="1"/>
      <x:c r="C1" s="1"/>
      <x:c r="D1" s="1"/>
      <x:c r="E1" s="1"/>
    </x:row>
    <x:row r="2">
      <x:c r="A2" s="2" t="str">
        <x:v>10道问询：参考要点复核</x:v>
      </x:c>
      <x:c r="B2" s="1"/>
      <x:c r="C2" s="1"/>
      <x:c r="D2" s="1"/>
      <x:c r="E2" s="1"/>
    </x:row>
    <x:row r="3">
      <x:c r="A3" s="1"/>
      <x:c r="B3" s="1"/>
      <x:c r="C3" s="1"/>
      <x:c r="D3" s="1"/>
      <x:c r="E3" s="1"/>
    </x:row>
    <x:row r="4" ht="34" customHeight="1">
      <x:c r="A4" s="10" t="str">
        <x:v>编号</x:v>
      </x:c>
      <x:c r="B4" s="10" t="str">
        <x:v>终态</x:v>
      </x:c>
      <x:c r="C4" s="10" t="str">
        <x:v>问询</x:v>
      </x:c>
      <x:c r="D4" s="10" t="str">
        <x:v>复核结论</x:v>
      </x:c>
      <x:c r="E4" s="10" t="str">
        <x:v>差异与依据</x:v>
      </x:c>
    </x:row>
    <x:row r="5" ht="95" customHeight="1">
      <x:c r="A5" s="11" t="str">
        <x:v>Q001</x:v>
      </x:c>
      <x:c r="B5" s="11" t="str">
        <x:v>成功</x:v>
      </x:c>
      <x:c r="C5" s="13" t="str">
        <x:v>请对该企业进行尽调并生成尽调报告</x:v>
      </x:c>
      <x:c r="D5" s="13" t="str">
        <x:v>核心要点符合</x:v>
      </x:c>
      <x:c r="E5" s="13" t="str">
        <x:v>完整报告覆盖企业概况、三年财务趋势、低风险、F01–F06未命中、2500–3000万元额度及风控条件；报告内舆情为自算健康分，不能与外部预存分直接视为同一指标。</x:v>
      </x:c>
    </x:row>
    <x:row r="6" ht="95" customHeight="1">
      <x:c r="A6" s="11" t="str">
        <x:v>Q002</x:v>
      </x:c>
      <x:c r="B6" s="11" t="str">
        <x:v>待确认</x:v>
      </x:c>
      <x:c r="C6" s="13" t="str">
        <x:v>该企业的资产负债率是多少？是否存在偿债风险？</x:v>
      </x:c>
      <x:c r="D6" s="13" t="str">
        <x:v>基本符合，部分遗漏</x:v>
      </x:c>
      <x:c r="E6" s="13" t="str">
        <x:v>75%资产负债率、持续走高、较高偿债风险、对外担保12000万元、法人限高均命中；未直接列出参考中的逾期320万元与全部涉诉4件，改列未结被告2件1530万元。</x:v>
      </x:c>
    </x:row>
    <x:row r="7" ht="95" customHeight="1">
      <x:c r="A7" s="11" t="str">
        <x:v>Q003</x:v>
      </x:c>
      <x:c r="B7" s="11" t="str">
        <x:v>成功</x:v>
      </x:c>
      <x:c r="C7" s="13" t="str">
        <x:v>该企业是否存在财务异常或欺诈线索？</x:v>
      </x:c>
      <x:c r="D7" s="13" t="str">
        <x:v>核心要点符合</x:v>
      </x:c>
      <x:c r="E7" s="13" t="str">
        <x:v>识别营收22000万元与现金流-800万元背离、其他应收3500万元、应收9800万元增速异常、关联6家与担保圈；提出流水及关联往来核验。未明确写应收/营收44.5%，但给出原始数值。</x:v>
      </x:c>
    </x:row>
    <x:row r="8" ht="95" customHeight="1">
      <x:c r="A8" s="11" t="str">
        <x:v>Q004</x:v>
      </x:c>
      <x:c r="B8" s="11" t="str">
        <x:v>成功</x:v>
      </x:c>
      <x:c r="C8" s="13" t="str">
        <x:v>请测算该企业的建议授信额度</x:v>
      </x:c>
      <x:c r="D8" s="13" t="str">
        <x:v>基本符合，口径有差异</x:v>
      </x:c>
      <x:c r="E8" s="13" t="str">
        <x:v>给出2000–2500万元区间，上限与问询参考2500万元一致；期限60个月、利率下浮、存量贷款3000万元一致。问询参考为点值，申请参考为2000–2500区间，不将二者算成完全相同的输出。</x:v>
      </x:c>
    </x:row>
    <x:row r="9" ht="95" customHeight="1">
      <x:c r="A9" s="11" t="str">
        <x:v>Q005</x:v>
      </x:c>
      <x:c r="B9" s="11" t="str">
        <x:v>成功</x:v>
      </x:c>
      <x:c r="C9" s="13" t="str">
        <x:v>该企业的舆情和诉讼风险如何？</x:v>
      </x:c>
      <x:c r="D9" s="13" t="str">
        <x:v>参考口径差异及遗漏</x:v>
      </x:c>
      <x:c r="E9" s="13" t="str">
        <x:v>高风险、事故/欠薪/被执行线索均识别。答复列未结被告2件1000万元、已结3件；参考为涉诉5件3200万元。明细5件实际合计1850万元，需区分明细与汇总冲突。自算舆情健康分0与参考预存48分不同；未覆盖担保3000万元和逾期180万元。</x:v>
      </x:c>
    </x:row>
    <x:row r="10" ht="95" customHeight="1">
      <x:c r="A10" s="11" t="str">
        <x:v>Q006</x:v>
      </x:c>
      <x:c r="B10" s="11" t="str">
        <x:v>成功</x:v>
      </x:c>
      <x:c r="C10" s="13" t="str">
        <x:v>分析该企业近三年成长性</x:v>
      </x:c>
      <x:c r="D10" s="13" t="str">
        <x:v>核心符合，参考表述有误</x:v>
      </x:c>
      <x:c r="E10" s="13" t="str">
        <x:v>营收8600→12800→18500万元、CAGR46.7%、净利润920→1560→2100万元均正确，提示应收占用与回款风险。参考称应收增速快于营收，与原始数据冲突：2023年应收增41.7%，营收增44.5%；全期应收CAGR45.8%也低于营收46.7%。未把这一参考错误算成系统错误。</x:v>
      </x:c>
    </x:row>
    <x:row r="11" ht="95" customHeight="1">
      <x:c r="A11" s="11" t="str">
        <x:v>Q007</x:v>
      </x:c>
      <x:c r="B11" s="11" t="str">
        <x:v>成功</x:v>
      </x:c>
      <x:c r="C11" s="13" t="str">
        <x:v>该企业适合发放贷款吗？给出尽调结论</x:v>
      </x:c>
      <x:c r="D11" s="13" t="str">
        <x:v>基本符合，口径有差异</x:v>
      </x:c>
      <x:c r="E11" s="13" t="str">
        <x:v>低风险、建议准入、经营现金流920万元&gt;净利850万元、负债率42.9%、24个月信用担保与参考方向一致。额度给400–500万元区间而参考问询给500万元点值；舆情自算88.4分与参考预存82分口径不同。</x:v>
      </x:c>
    </x:row>
    <x:row r="12" ht="95" customHeight="1">
      <x:c r="A12" s="11" t="str">
        <x:v>Q008</x:v>
      </x:c>
      <x:c r="B12" s="11" t="str">
        <x:v>成功</x:v>
      </x:c>
      <x:c r="C12" s="13" t="str">
        <x:v>该企业的营运能力如何？</x:v>
      </x:c>
      <x:c r="D12" s="13" t="str">
        <x:v>核心符合，解释有瑕疵</x:v>
      </x:c>
      <x:c r="E12" s="13" t="str">
        <x:v>营收95000万元、应收周转11.18次、存货周转29.69次、总资产周转5.28次及净利率约1.95%均吻合。解释称应收天数未拉长，但表内2022→2023为32.05→32.66天，略有增加；将应收周转的营收口径也笼统称为非标准口径不准确。</x:v>
      </x:c>
    </x:row>
    <x:row r="13" ht="95" customHeight="1">
      <x:c r="A13" s="11" t="str">
        <x:v>Q009</x:v>
      </x:c>
      <x:c r="B13" s="11" t="str">
        <x:v>成功</x:v>
      </x:c>
      <x:c r="C13" s="13" t="str">
        <x:v>扫描该企业的舆情事件并评估影响</x:v>
      </x:c>
      <x:c r="D13" s="13" t="str">
        <x:v>核心符合，评分口径差异</x:v>
      </x:c>
      <x:c r="E13" s="13" t="str">
        <x:v>4条舆情（延期交付、经营异常、子公司被执行、项目竣工）及日期、负面影响均覆盖；自算健康分0/风险分100，与参考外部汇总45分不同。已执行完毕案件与当前未结敞口分开，未将历史已结案件当作未结。</x:v>
      </x:c>
    </x:row>
    <x:row r="14" ht="95" customHeight="1">
      <x:c r="A14" s="11" t="str">
        <x:v>Q010</x:v>
      </x:c>
      <x:c r="B14" s="11" t="str">
        <x:v>成功</x:v>
      </x:c>
      <x:c r="C14" s="13" t="str">
        <x:v>核查该企业的关联企业和对外担保情况</x:v>
      </x:c>
      <x:c r="D14" s="13" t="str">
        <x:v>基本符合，合计遗漏</x:v>
      </x:c>
      <x:c r="E14" s="13" t="str">
        <x:v>关联6家、关系类型构成、担保圈2家、对外担保2笔1500及1000万元均列出，也提示担保链风险。但答复明确拒绝提供合计，未满足参考“合计2500万元”；应由工具提供合计字段，而非要求模型凭空补数。角色标记需复核，运行终态仍succeeded，应区分角色提示与终态。</x:v>
      </x:c>
    </x:row>
    <x:row r="15">
      <x:c r="A15" s="1"/>
      <x:c r="B15" s="1"/>
      <x:c r="C15" s="1"/>
      <x:c r="D15" s="1"/>
      <x:c r="E15" s="1"/>
    </x:row>
  </x:sheetData>
  <x:conditionalFormatting sqref="B5:B14">
    <x:cfRule type="containsText" dxfId="4" priority="1" operator="containsText" text="失败"/>
    <x:cfRule type="containsText" dxfId="5" priority="2" operator="containsText" text="待确认"/>
  </x:conditionalFormatting>
  <x:pageMargins left="0.7" right="0.7" top="0.75" bottom="0.75" header="0.3" footer="0.3"/>
  <x:tableParts count="1">
    <x:tablePart xmlns:r="http://schemas.openxmlformats.org/officeDocument/2006/relationships" r:id="R8ca2c10465fb4f7c"/>
  </x:tableParts>
</x:worksheet>
</file>